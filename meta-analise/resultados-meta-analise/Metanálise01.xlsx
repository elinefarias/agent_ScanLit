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agent_ScanLit\"/>
    </mc:Choice>
  </mc:AlternateContent>
  <xr:revisionPtr revIDLastSave="0" documentId="13_ncr:1_{692AD8EC-773E-4221-8D2D-FC9046C7B3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VP" sheetId="1" r:id="rId1"/>
    <sheet name="Efeito" sheetId="2" r:id="rId2"/>
  </sheets>
  <calcPr calcId="191029"/>
</workbook>
</file>

<file path=xl/calcChain.xml><?xml version="1.0" encoding="utf-8"?>
<calcChain xmlns="http://schemas.openxmlformats.org/spreadsheetml/2006/main">
  <c r="H2" i="1" l="1"/>
  <c r="B2" i="2"/>
  <c r="B4" i="2"/>
  <c r="F4" i="2" s="1"/>
  <c r="B11" i="2"/>
  <c r="F11" i="2" s="1"/>
  <c r="A11" i="2"/>
  <c r="B10" i="2"/>
  <c r="F10" i="2" s="1"/>
  <c r="A10" i="2"/>
  <c r="B9" i="2"/>
  <c r="F9" i="2" s="1"/>
  <c r="A9" i="2"/>
  <c r="B8" i="2"/>
  <c r="C8" i="2" s="1"/>
  <c r="D8" i="2" s="1"/>
  <c r="A8" i="2"/>
  <c r="B7" i="2"/>
  <c r="F7" i="2" s="1"/>
  <c r="A7" i="2"/>
  <c r="B6" i="2"/>
  <c r="F6" i="2" s="1"/>
  <c r="A6" i="2"/>
  <c r="B5" i="2"/>
  <c r="F5" i="2" s="1"/>
  <c r="A5" i="2"/>
  <c r="A4" i="2"/>
  <c r="B3" i="2"/>
  <c r="F3" i="2" s="1"/>
  <c r="A3" i="2"/>
  <c r="A2" i="2"/>
  <c r="C2" i="2" l="1"/>
  <c r="D2" i="2" s="1"/>
  <c r="E2" i="2" s="1"/>
  <c r="F2" i="2"/>
  <c r="E8" i="2"/>
  <c r="C6" i="2"/>
  <c r="D6" i="2" s="1"/>
  <c r="C3" i="2"/>
  <c r="D3" i="2" s="1"/>
  <c r="C5" i="2"/>
  <c r="D5" i="2" s="1"/>
  <c r="C7" i="2"/>
  <c r="D7" i="2" s="1"/>
  <c r="C9" i="2"/>
  <c r="D9" i="2" s="1"/>
  <c r="C11" i="2"/>
  <c r="D11" i="2" s="1"/>
  <c r="C4" i="2"/>
  <c r="D4" i="2" s="1"/>
  <c r="C10" i="2"/>
  <c r="D10" i="2" s="1"/>
  <c r="F8" i="2"/>
  <c r="G8" i="2" s="1"/>
  <c r="G2" i="2" l="1"/>
  <c r="K2" i="2"/>
  <c r="H2" i="2"/>
  <c r="J2" i="2"/>
  <c r="L2" i="2" s="1"/>
  <c r="M2" i="2" s="1"/>
  <c r="H8" i="2"/>
  <c r="H10" i="2"/>
  <c r="E10" i="2"/>
  <c r="G10" i="2"/>
  <c r="H5" i="2"/>
  <c r="E5" i="2"/>
  <c r="G5" i="2"/>
  <c r="H4" i="2"/>
  <c r="E4" i="2"/>
  <c r="G4" i="2"/>
  <c r="H9" i="2"/>
  <c r="G9" i="2"/>
  <c r="E9" i="2"/>
  <c r="H3" i="2"/>
  <c r="G3" i="2"/>
  <c r="E3" i="2"/>
  <c r="H11" i="2"/>
  <c r="E11" i="2"/>
  <c r="G11" i="2"/>
  <c r="H7" i="2"/>
  <c r="E7" i="2"/>
  <c r="G7" i="2"/>
  <c r="H6" i="2"/>
  <c r="G6" i="2"/>
  <c r="E6" i="2"/>
</calcChain>
</file>

<file path=xl/sharedStrings.xml><?xml version="1.0" encoding="utf-8"?>
<sst xmlns="http://schemas.openxmlformats.org/spreadsheetml/2006/main" count="85" uniqueCount="73">
  <si>
    <t>Estudo</t>
  </si>
  <si>
    <t>Amostras</t>
  </si>
  <si>
    <t>Estudo 1</t>
  </si>
  <si>
    <t>Estudo 2</t>
  </si>
  <si>
    <t>Estudo 3</t>
  </si>
  <si>
    <t>Estudo 4</t>
  </si>
  <si>
    <t>Estudo 5</t>
  </si>
  <si>
    <t>Estudo 6</t>
  </si>
  <si>
    <t>Estudo 7</t>
  </si>
  <si>
    <t>Estudo 8</t>
  </si>
  <si>
    <t>Estudo 9</t>
  </si>
  <si>
    <t>Estudo 10</t>
  </si>
  <si>
    <t>s</t>
  </si>
  <si>
    <t>d</t>
  </si>
  <si>
    <t>g</t>
  </si>
  <si>
    <t>SE</t>
  </si>
  <si>
    <t>ICmin (95%)</t>
  </si>
  <si>
    <t>ICmax (95%)</t>
  </si>
  <si>
    <t>d combinado</t>
  </si>
  <si>
    <t>g combinado</t>
  </si>
  <si>
    <t>Q</t>
  </si>
  <si>
    <t>I^2</t>
  </si>
  <si>
    <t>Estudo 11</t>
  </si>
  <si>
    <t>Estudo 12</t>
  </si>
  <si>
    <t>Estudo 13</t>
  </si>
  <si>
    <t>Estudo 14</t>
  </si>
  <si>
    <t>Estudo 15</t>
  </si>
  <si>
    <t>Estudo 16</t>
  </si>
  <si>
    <t>Estudo 17</t>
  </si>
  <si>
    <t>Estudo 18</t>
  </si>
  <si>
    <t>Estudo 19</t>
  </si>
  <si>
    <t>99.99</t>
  </si>
  <si>
    <t>96.71</t>
  </si>
  <si>
    <t>99.58</t>
  </si>
  <si>
    <t>84.87</t>
  </si>
  <si>
    <t>94.18</t>
  </si>
  <si>
    <t>98.53</t>
  </si>
  <si>
    <t>91.9</t>
  </si>
  <si>
    <t>96.88</t>
  </si>
  <si>
    <t>94.13</t>
  </si>
  <si>
    <t>98.26</t>
  </si>
  <si>
    <t>IEEE</t>
  </si>
  <si>
    <t>96.91</t>
  </si>
  <si>
    <t>99.03</t>
  </si>
  <si>
    <t>96.70</t>
  </si>
  <si>
    <t>98.97</t>
  </si>
  <si>
    <t>99.49</t>
  </si>
  <si>
    <t>81.71</t>
  </si>
  <si>
    <t>72.42</t>
  </si>
  <si>
    <t>71.27</t>
  </si>
  <si>
    <t>94.35</t>
  </si>
  <si>
    <t>94.98</t>
  </si>
  <si>
    <t>90.20</t>
  </si>
  <si>
    <t>98.83</t>
  </si>
  <si>
    <t>85.5</t>
  </si>
  <si>
    <t>91.89</t>
  </si>
  <si>
    <t>Web of Science</t>
  </si>
  <si>
    <t>Redução %</t>
  </si>
  <si>
    <t>Acurácia_02 %</t>
  </si>
  <si>
    <t>Acurácia_01 %</t>
  </si>
  <si>
    <t>Desvio_Padrão</t>
  </si>
  <si>
    <t>Acurácia_Antes_da_Intervenção</t>
  </si>
  <si>
    <t>Acurácia_Antes_da_intervenção</t>
  </si>
  <si>
    <t>90.41</t>
  </si>
  <si>
    <t>96.35</t>
  </si>
  <si>
    <t>99.90</t>
  </si>
  <si>
    <t>83.5</t>
  </si>
  <si>
    <t>86.34</t>
  </si>
  <si>
    <t>84.92</t>
  </si>
  <si>
    <t>87.94</t>
  </si>
  <si>
    <t>93.52</t>
  </si>
  <si>
    <t>82.25</t>
  </si>
  <si>
    <t>95.15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</si>
</sst>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8C352D"/>
      </left>
      <right style="thin">
        <color rgb="FFBB463C"/>
      </right>
      <top style="thin">
        <color rgb="FF8C352D"/>
      </top>
      <bottom style="thin">
        <color rgb="FF8C352D"/>
      </bottom>
      <diagonal/>
    </border>
    <border>
      <left style="thin">
        <color rgb="FFBB463C"/>
      </left>
      <right style="thin">
        <color rgb="FFBB463C"/>
      </right>
      <top style="thin">
        <color rgb="FF8C352D"/>
      </top>
      <bottom style="thin">
        <color rgb="FF8C352D"/>
      </bottom>
      <diagonal/>
    </border>
    <border>
      <left style="thin">
        <color rgb="FFBB463C"/>
      </left>
      <right style="thin">
        <color rgb="FF8C352D"/>
      </right>
      <top style="thin">
        <color rgb="FF8C352D"/>
      </top>
      <bottom style="thin">
        <color rgb="FF8C352D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  <diagonal/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  <diagonal/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8C352D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8C352D"/>
      </bottom>
      <diagonal/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8C352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64" fontId="1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rgb="FFCC009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F9000"/>
          <bgColor rgb="FFBF9000"/>
        </patternFill>
      </fill>
    </dxf>
  </dxfs>
  <tableStyles count="4">
    <tableStyle name="DVP-style" pivot="0" count="3" xr9:uid="{00000000-0011-0000-FFFF-FFFF00000000}">
      <tableStyleElement type="headerRow" dxfId="27"/>
      <tableStyleElement type="firstRowStripe" dxfId="26"/>
      <tableStyleElement type="secondRowStripe" dxfId="25"/>
    </tableStyle>
    <tableStyle name="DVP-style 2" pivot="0" count="3" xr9:uid="{00000000-0011-0000-FFFF-FFFF01000000}">
      <tableStyleElement type="headerRow" dxfId="24"/>
      <tableStyleElement type="firstRowStripe" dxfId="23"/>
      <tableStyleElement type="secondRowStripe" dxfId="22"/>
    </tableStyle>
    <tableStyle name="Efeito-style" pivot="0" count="3" xr9:uid="{00000000-0011-0000-FFFF-FFFF02000000}">
      <tableStyleElement type="headerRow" dxfId="21"/>
      <tableStyleElement type="firstRowStripe" dxfId="20"/>
      <tableStyleElement type="secondRowStripe" dxfId="19"/>
    </tableStyle>
    <tableStyle name="Efeito-style 2" pivot="0" count="3" xr9:uid="{00000000-0011-0000-FFFF-FFFF03000000}">
      <tableStyleElement type="headerRow" dxfId="18"/>
      <tableStyleElement type="firstRowStripe" dxfId="17"/>
      <tableStyleElement type="secondRowStripe" dxfId="16"/>
    </tableStyle>
  </tableStyles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" displayName="Baseline" ref="A1:G20" headerRowDxfId="15" dataDxfId="14">
  <tableColumns count="7">
    <tableColumn id="1" xr3:uid="{00000000-0010-0000-0000-000001000000}" name="Estudo" dataDxfId="13"/>
    <tableColumn id="2" xr3:uid="{00000000-0010-0000-0000-000002000000}" name="Amostras" dataDxfId="12"/>
    <tableColumn id="5" xr3:uid="{9F9ED5E4-B193-42CC-8AC8-195192E997AC}" name="Acurácia_Antes_da_Intervenção" dataDxfId="0"/>
    <tableColumn id="6" xr3:uid="{BEAA1066-85EE-4B73-A9EF-689BDA6726F9}" name="Acurácia_01 %" dataDxfId="11"/>
    <tableColumn id="3" xr3:uid="{00000000-0010-0000-0000-000003000000}" name="Acurácia_02 %" dataDxfId="10"/>
    <tableColumn id="4" xr3:uid="{BF83D323-D398-4397-9FD7-0754557654E5}" name="Desvio_Padrão" dataDxfId="1"/>
    <tableColumn id="8" xr3:uid="{9F837AE4-FAEC-4396-A9CC-80C222550AF5}" name="Redução %" dataDxfId="9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ós_a_Intervenção" displayName="Após_a_Intervenção" ref="H1:N3" headerRowDxfId="8" dataDxfId="7">
  <tableColumns count="7">
    <tableColumn id="1" xr3:uid="{00000000-0010-0000-0100-000001000000}" name="Estudo" dataDxfId="6"/>
    <tableColumn id="2" xr3:uid="{00000000-0010-0000-0100-000002000000}" name="Amostras" dataDxfId="5"/>
    <tableColumn id="6" xr3:uid="{8E860850-A782-4252-9E03-CE5C9F14B85C}" name="Acurácia_Antes_da_intervenção"/>
    <tableColumn id="3" xr3:uid="{00000000-0010-0000-0100-000003000000}" name="Acurácia_01 %" dataDxfId="4"/>
    <tableColumn id="4" xr3:uid="{00000000-0010-0000-0100-000004000000}" name="Acurácia_02 %" dataDxfId="3"/>
    <tableColumn id="7" xr3:uid="{2DB592A6-CE8C-4ACB-84E1-410EA862E554}" name="Desvio_Padrão"/>
    <tableColumn id="5" xr3:uid="{66EF79B1-E826-4A07-A2D7-5882DB78A22C}" name="Redução %" dataDxfId="2"/>
  </tableColumns>
  <tableStyleInfo name="TableStyleLight15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feito" displayName="Efeito" ref="A1:H11">
  <tableColumns count="8">
    <tableColumn id="1" xr3:uid="{00000000-0010-0000-0200-000001000000}" name="Estudo"/>
    <tableColumn id="2" xr3:uid="{00000000-0010-0000-0200-000002000000}" name="Amostras"/>
    <tableColumn id="3" xr3:uid="{00000000-0010-0000-0200-000003000000}" name="s"/>
    <tableColumn id="4" xr3:uid="{00000000-0010-0000-0200-000004000000}" name="d"/>
    <tableColumn id="5" xr3:uid="{00000000-0010-0000-0200-000005000000}" name="g"/>
    <tableColumn id="6" xr3:uid="{00000000-0010-0000-0200-000006000000}" name="SE"/>
    <tableColumn id="7" xr3:uid="{00000000-0010-0000-0200-000007000000}" name="ICmin (95%)"/>
    <tableColumn id="8" xr3:uid="{00000000-0010-0000-0200-000008000000}" name="ICmax (95%)"/>
  </tableColumns>
  <tableStyleInfo name="Efeit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feito_Global" displayName="Efeito_Global" ref="J1:M11">
  <tableColumns count="4">
    <tableColumn id="1" xr3:uid="{00000000-0010-0000-0300-000001000000}" name="d combinado"/>
    <tableColumn id="2" xr3:uid="{00000000-0010-0000-0300-000002000000}" name="g combinado"/>
    <tableColumn id="3" xr3:uid="{00000000-0010-0000-0300-000003000000}" name="Q"/>
    <tableColumn id="4" xr3:uid="{00000000-0010-0000-0300-000004000000}" name="I^2"/>
  </tableColumns>
  <tableStyleInfo name="Efeito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"/>
  <sheetViews>
    <sheetView tabSelected="1" workbookViewId="0">
      <pane ySplit="1" topLeftCell="A2" activePane="bottomLeft" state="frozen"/>
      <selection pane="bottomLeft" activeCell="C21" sqref="C21"/>
    </sheetView>
  </sheetViews>
  <sheetFormatPr defaultColWidth="12.6640625" defaultRowHeight="15.75" customHeight="1" x14ac:dyDescent="0.25"/>
  <cols>
    <col min="1" max="1" width="14.21875" customWidth="1"/>
    <col min="3" max="3" width="36" customWidth="1"/>
    <col min="4" max="4" width="18.44140625" customWidth="1"/>
    <col min="5" max="5" width="19.88671875" customWidth="1"/>
    <col min="6" max="6" width="17.21875" customWidth="1"/>
    <col min="7" max="7" width="19.6640625" customWidth="1"/>
    <col min="8" max="8" width="20.5546875" customWidth="1"/>
    <col min="9" max="9" width="21.21875" customWidth="1"/>
    <col min="10" max="10" width="29.6640625" customWidth="1"/>
    <col min="11" max="11" width="14.44140625" customWidth="1"/>
    <col min="12" max="12" width="15.88671875" customWidth="1"/>
    <col min="13" max="13" width="15.44140625" customWidth="1"/>
  </cols>
  <sheetData>
    <row r="1" spans="1:14" ht="13.2" x14ac:dyDescent="0.25">
      <c r="A1" s="26" t="s">
        <v>0</v>
      </c>
      <c r="B1" s="26" t="s">
        <v>1</v>
      </c>
      <c r="C1" s="26" t="s">
        <v>61</v>
      </c>
      <c r="D1" s="26" t="s">
        <v>59</v>
      </c>
      <c r="E1" s="26" t="s">
        <v>58</v>
      </c>
      <c r="F1" s="26" t="s">
        <v>60</v>
      </c>
      <c r="G1" s="26" t="s">
        <v>57</v>
      </c>
      <c r="H1" s="32" t="s">
        <v>0</v>
      </c>
      <c r="I1" s="32" t="s">
        <v>1</v>
      </c>
      <c r="J1" s="32" t="s">
        <v>62</v>
      </c>
      <c r="K1" s="32" t="s">
        <v>59</v>
      </c>
      <c r="L1" s="32" t="s">
        <v>58</v>
      </c>
      <c r="M1" s="32" t="s">
        <v>60</v>
      </c>
      <c r="N1" s="32" t="s">
        <v>57</v>
      </c>
    </row>
    <row r="2" spans="1:14" ht="13.2" x14ac:dyDescent="0.25">
      <c r="A2" s="27" t="s">
        <v>2</v>
      </c>
      <c r="B2" s="27">
        <v>10288</v>
      </c>
      <c r="C2" s="27">
        <v>81</v>
      </c>
      <c r="D2" s="27">
        <v>95</v>
      </c>
      <c r="E2" s="28" t="s">
        <v>40</v>
      </c>
      <c r="F2" s="28"/>
      <c r="G2" s="28">
        <v>-21.3</v>
      </c>
      <c r="H2" s="27" t="str">
        <f>A2</f>
        <v>Estudo 1</v>
      </c>
      <c r="I2" s="27">
        <v>201</v>
      </c>
      <c r="J2" s="27"/>
      <c r="K2" s="27">
        <v>70</v>
      </c>
      <c r="L2" s="27">
        <v>78</v>
      </c>
      <c r="M2" s="27"/>
      <c r="N2" s="27"/>
    </row>
    <row r="3" spans="1:14" ht="13.2" x14ac:dyDescent="0.25">
      <c r="A3" s="27" t="s">
        <v>3</v>
      </c>
      <c r="B3" s="29">
        <v>1300000</v>
      </c>
      <c r="C3" s="33" t="s">
        <v>63</v>
      </c>
      <c r="D3" s="29"/>
      <c r="E3" s="27">
        <v>96</v>
      </c>
      <c r="F3" s="27"/>
      <c r="G3" s="27"/>
      <c r="H3" s="31"/>
      <c r="I3" s="31"/>
      <c r="J3" s="31"/>
      <c r="K3" s="31"/>
      <c r="L3" s="31"/>
      <c r="M3" s="31"/>
      <c r="N3" s="31"/>
    </row>
    <row r="4" spans="1:14" ht="13.2" x14ac:dyDescent="0.25">
      <c r="A4" s="27" t="s">
        <v>4</v>
      </c>
      <c r="B4" s="27">
        <v>10616</v>
      </c>
      <c r="C4" s="28" t="s">
        <v>64</v>
      </c>
      <c r="D4" s="28"/>
      <c r="E4" s="28" t="s">
        <v>42</v>
      </c>
      <c r="F4" s="28"/>
      <c r="G4" s="28"/>
      <c r="H4" s="31"/>
      <c r="I4" s="31"/>
      <c r="J4" s="31"/>
      <c r="K4" s="31"/>
    </row>
    <row r="5" spans="1:14" ht="13.2" x14ac:dyDescent="0.25">
      <c r="A5" s="27" t="s">
        <v>5</v>
      </c>
      <c r="B5" s="29">
        <v>1030000</v>
      </c>
      <c r="C5" s="33" t="s">
        <v>43</v>
      </c>
      <c r="D5" s="33" t="s">
        <v>65</v>
      </c>
      <c r="E5" s="30" t="s">
        <v>31</v>
      </c>
      <c r="F5" s="30"/>
      <c r="G5" s="30"/>
      <c r="I5" s="34" t="s">
        <v>56</v>
      </c>
    </row>
    <row r="6" spans="1:14" ht="13.2" x14ac:dyDescent="0.25">
      <c r="A6" s="27" t="s">
        <v>6</v>
      </c>
      <c r="B6" s="27">
        <v>668</v>
      </c>
      <c r="C6" s="28" t="s">
        <v>66</v>
      </c>
      <c r="D6" s="28" t="s">
        <v>44</v>
      </c>
      <c r="E6" s="27" t="s">
        <v>32</v>
      </c>
      <c r="F6" s="27"/>
      <c r="G6" s="27"/>
    </row>
    <row r="7" spans="1:14" ht="13.2" x14ac:dyDescent="0.25">
      <c r="A7" s="27" t="s">
        <v>7</v>
      </c>
      <c r="B7" s="27">
        <v>512</v>
      </c>
      <c r="C7" s="27"/>
      <c r="D7" s="27">
        <v>90</v>
      </c>
      <c r="E7" s="27">
        <v>95</v>
      </c>
      <c r="F7" s="27"/>
      <c r="G7" s="27"/>
    </row>
    <row r="8" spans="1:14" ht="13.2" x14ac:dyDescent="0.25">
      <c r="A8" s="27" t="s">
        <v>8</v>
      </c>
      <c r="B8" s="27">
        <v>60000</v>
      </c>
      <c r="C8" s="27"/>
      <c r="D8" s="27">
        <v>85</v>
      </c>
      <c r="E8" s="27">
        <v>97</v>
      </c>
      <c r="F8" s="27"/>
      <c r="G8" s="27"/>
    </row>
    <row r="9" spans="1:14" ht="13.2" x14ac:dyDescent="0.25">
      <c r="A9" s="27" t="s">
        <v>9</v>
      </c>
      <c r="B9" s="27">
        <v>668</v>
      </c>
      <c r="C9" s="27">
        <v>92</v>
      </c>
      <c r="D9" s="28" t="s">
        <v>45</v>
      </c>
      <c r="E9" s="28" t="s">
        <v>46</v>
      </c>
      <c r="F9" s="28"/>
      <c r="G9" s="27"/>
    </row>
    <row r="10" spans="1:14" ht="13.2" x14ac:dyDescent="0.25">
      <c r="A10" s="27" t="s">
        <v>10</v>
      </c>
      <c r="B10" s="27">
        <v>656</v>
      </c>
      <c r="C10" s="27">
        <v>92</v>
      </c>
      <c r="D10" s="28" t="s">
        <v>45</v>
      </c>
      <c r="E10" s="28" t="s">
        <v>46</v>
      </c>
      <c r="F10" s="27"/>
      <c r="G10" s="27"/>
    </row>
    <row r="11" spans="1:14" ht="13.2" x14ac:dyDescent="0.25">
      <c r="A11" s="27" t="s">
        <v>11</v>
      </c>
      <c r="B11" s="27">
        <v>6788</v>
      </c>
      <c r="C11" s="27"/>
      <c r="D11" s="28" t="s">
        <v>48</v>
      </c>
      <c r="E11" s="28" t="s">
        <v>47</v>
      </c>
      <c r="F11" s="28"/>
      <c r="G11" s="27"/>
    </row>
    <row r="12" spans="1:14" ht="15.75" customHeight="1" x14ac:dyDescent="0.25">
      <c r="A12" s="28" t="s">
        <v>22</v>
      </c>
      <c r="B12" s="27">
        <v>1972</v>
      </c>
      <c r="C12" s="28" t="s">
        <v>67</v>
      </c>
      <c r="D12" s="27">
        <v>80</v>
      </c>
      <c r="E12" s="28" t="s">
        <v>68</v>
      </c>
      <c r="F12" s="28"/>
      <c r="G12" s="27"/>
    </row>
    <row r="13" spans="1:14" ht="15.75" customHeight="1" x14ac:dyDescent="0.25">
      <c r="A13" s="28" t="s">
        <v>23</v>
      </c>
      <c r="B13" s="27">
        <v>4027</v>
      </c>
      <c r="C13" s="28" t="s">
        <v>49</v>
      </c>
      <c r="D13" s="28"/>
      <c r="E13" s="28" t="s">
        <v>34</v>
      </c>
      <c r="F13" s="28"/>
      <c r="G13" s="27"/>
    </row>
    <row r="14" spans="1:14" ht="15.75" customHeight="1" x14ac:dyDescent="0.25">
      <c r="A14" s="28" t="s">
        <v>24</v>
      </c>
      <c r="B14" s="27">
        <v>6000</v>
      </c>
      <c r="C14" s="27">
        <v>80</v>
      </c>
      <c r="D14" s="28" t="s">
        <v>33</v>
      </c>
      <c r="E14" s="27" t="s">
        <v>33</v>
      </c>
      <c r="F14" s="27"/>
      <c r="G14" s="27"/>
    </row>
    <row r="15" spans="1:14" ht="15.75" customHeight="1" x14ac:dyDescent="0.25">
      <c r="A15" s="28" t="s">
        <v>25</v>
      </c>
      <c r="B15" s="27">
        <v>1674</v>
      </c>
      <c r="C15" s="28" t="s">
        <v>69</v>
      </c>
      <c r="D15" s="28" t="s">
        <v>50</v>
      </c>
      <c r="E15" s="28" t="s">
        <v>51</v>
      </c>
      <c r="F15" s="28"/>
      <c r="G15" s="27"/>
    </row>
    <row r="16" spans="1:14" ht="15.75" customHeight="1" x14ac:dyDescent="0.25">
      <c r="A16" s="28" t="s">
        <v>26</v>
      </c>
      <c r="B16" s="27">
        <v>8667</v>
      </c>
      <c r="C16" s="28" t="s">
        <v>52</v>
      </c>
      <c r="D16" s="28" t="s">
        <v>70</v>
      </c>
      <c r="E16" s="28" t="s">
        <v>35</v>
      </c>
      <c r="F16" s="28"/>
      <c r="G16" s="27"/>
    </row>
    <row r="17" spans="1:7" ht="15.75" customHeight="1" x14ac:dyDescent="0.25">
      <c r="A17" s="28" t="s">
        <v>27</v>
      </c>
      <c r="B17" s="27">
        <v>192</v>
      </c>
      <c r="C17" s="28" t="s">
        <v>71</v>
      </c>
      <c r="D17" s="28" t="s">
        <v>36</v>
      </c>
      <c r="E17" s="28" t="s">
        <v>53</v>
      </c>
      <c r="F17" s="28"/>
      <c r="G17" s="27"/>
    </row>
    <row r="18" spans="1:7" ht="15.75" customHeight="1" x14ac:dyDescent="0.25">
      <c r="A18" s="28" t="s">
        <v>28</v>
      </c>
      <c r="B18" s="27">
        <v>856</v>
      </c>
      <c r="C18" s="28" t="s">
        <v>66</v>
      </c>
      <c r="D18" s="28" t="s">
        <v>54</v>
      </c>
      <c r="E18" s="27" t="s">
        <v>37</v>
      </c>
      <c r="F18" s="27"/>
      <c r="G18" s="27"/>
    </row>
    <row r="19" spans="1:7" ht="15.75" customHeight="1" x14ac:dyDescent="0.25">
      <c r="A19" s="28" t="s">
        <v>29</v>
      </c>
      <c r="B19" s="27">
        <v>603</v>
      </c>
      <c r="C19" s="27">
        <v>95</v>
      </c>
      <c r="D19" s="28" t="s">
        <v>72</v>
      </c>
      <c r="E19" s="27" t="s">
        <v>38</v>
      </c>
      <c r="F19" s="27"/>
      <c r="G19" s="27"/>
    </row>
    <row r="20" spans="1:7" ht="15.75" customHeight="1" x14ac:dyDescent="0.25">
      <c r="A20" s="28" t="s">
        <v>30</v>
      </c>
      <c r="B20" s="27">
        <v>668</v>
      </c>
      <c r="C20" s="27">
        <v>95</v>
      </c>
      <c r="D20" s="28" t="s">
        <v>55</v>
      </c>
      <c r="E20" s="27" t="s">
        <v>39</v>
      </c>
      <c r="F20" s="27"/>
      <c r="G20" s="27"/>
    </row>
    <row r="22" spans="1:7" ht="15.75" customHeight="1" x14ac:dyDescent="0.25">
      <c r="B22" s="34" t="s">
        <v>41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16" customWidth="1"/>
    <col min="7" max="7" width="17.21875" customWidth="1"/>
    <col min="8" max="8" width="13.88671875" customWidth="1"/>
    <col min="10" max="10" width="15.33203125" customWidth="1"/>
    <col min="11" max="11" width="15.77734375" customWidth="1"/>
  </cols>
  <sheetData>
    <row r="1" spans="1:13" x14ac:dyDescent="0.25">
      <c r="A1" s="3" t="s">
        <v>0</v>
      </c>
      <c r="B1" s="4" t="s">
        <v>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5" t="s">
        <v>17</v>
      </c>
      <c r="J1" s="6" t="s">
        <v>18</v>
      </c>
      <c r="K1" s="7" t="s">
        <v>19</v>
      </c>
      <c r="L1" s="7" t="s">
        <v>20</v>
      </c>
      <c r="M1" s="8" t="s">
        <v>21</v>
      </c>
    </row>
    <row r="2" spans="1:13" x14ac:dyDescent="0.25">
      <c r="A2" s="9" t="str">
        <f>DVP!A2</f>
        <v>Estudo 1</v>
      </c>
      <c r="B2" s="1">
        <f>DVP!B2+DVP!I2</f>
        <v>10489</v>
      </c>
      <c r="C2" s="10" t="e">
        <f>SQRT(((DVP!B2-1)*DVP!#REF!+(DVP!I2-1)*DVP!L2)/(B2-2))</f>
        <v>#REF!</v>
      </c>
      <c r="D2" s="1" t="e">
        <f>(DVP!E2-DVP!K2)/C2</f>
        <v>#VALUE!</v>
      </c>
      <c r="E2" s="1" t="e">
        <f t="shared" ref="E2:E11" si="0">D2*(1-3/(4*B2-9))</f>
        <v>#VALUE!</v>
      </c>
      <c r="F2" s="1">
        <f t="shared" ref="F2:F11" si="1">1/SQRT(B2)</f>
        <v>9.7641166069794352E-3</v>
      </c>
      <c r="G2" s="1" t="e">
        <f t="shared" ref="G2:G11" si="2">D2-1.96*F2</f>
        <v>#VALUE!</v>
      </c>
      <c r="H2" s="11" t="e">
        <f t="shared" ref="H2:H11" si="3">D2+1.96*F2</f>
        <v>#VALUE!</v>
      </c>
      <c r="J2" s="12" t="e">
        <f>SUM((D2:D10)*(F2:F10))</f>
        <v>#VALUE!</v>
      </c>
      <c r="K2" s="1" t="e">
        <f>SUM((E2:E10)*(F2:F10))</f>
        <v>#VALUE!</v>
      </c>
      <c r="L2" s="1" t="e">
        <f>SUM((((D2:D11)-J2)^2)/(C2:C11))</f>
        <v>#VALUE!</v>
      </c>
      <c r="M2" s="13" t="e">
        <f>100*(L2-10-1)/L2</f>
        <v>#VALUE!</v>
      </c>
    </row>
    <row r="3" spans="1:13" x14ac:dyDescent="0.25">
      <c r="A3" s="14" t="str">
        <f>DVP!A3</f>
        <v>Estudo 2</v>
      </c>
      <c r="B3" s="2" t="e">
        <f>DVP!B3+DVP!#REF!</f>
        <v>#REF!</v>
      </c>
      <c r="C3" s="15" t="e">
        <f>SQRT(((DVP!B3-1)*DVP!#REF!+(DVP!#REF!-1)*DVP!#REF!)/(B3-2))</f>
        <v>#REF!</v>
      </c>
      <c r="D3" s="2" t="e">
        <f>(DVP!E3-DVP!#REF!)/C3</f>
        <v>#REF!</v>
      </c>
      <c r="E3" s="2" t="e">
        <f t="shared" si="0"/>
        <v>#REF!</v>
      </c>
      <c r="F3" s="2" t="e">
        <f t="shared" si="1"/>
        <v>#REF!</v>
      </c>
      <c r="G3" s="2" t="e">
        <f t="shared" si="2"/>
        <v>#REF!</v>
      </c>
      <c r="H3" s="16" t="e">
        <f t="shared" si="3"/>
        <v>#REF!</v>
      </c>
      <c r="L3" s="2"/>
      <c r="M3" s="17"/>
    </row>
    <row r="4" spans="1:13" x14ac:dyDescent="0.25">
      <c r="A4" s="9" t="str">
        <f>DVP!A4</f>
        <v>Estudo 3</v>
      </c>
      <c r="B4" s="1" t="e">
        <f>DVP!B4+DVP!#REF!</f>
        <v>#REF!</v>
      </c>
      <c r="C4" s="10" t="e">
        <f>SQRT(((DVP!B4-1)*DVP!#REF!+(DVP!#REF!-1)*DVP!#REF!)/(B4-2))</f>
        <v>#REF!</v>
      </c>
      <c r="D4" s="1" t="e">
        <f>(DVP!E4-DVP!#REF!)/C4</f>
        <v>#VALUE!</v>
      </c>
      <c r="E4" s="1" t="e">
        <f t="shared" si="0"/>
        <v>#VALUE!</v>
      </c>
      <c r="F4" s="1" t="e">
        <f t="shared" si="1"/>
        <v>#REF!</v>
      </c>
      <c r="G4" s="1" t="e">
        <f t="shared" si="2"/>
        <v>#VALUE!</v>
      </c>
      <c r="H4" s="11" t="e">
        <f t="shared" si="3"/>
        <v>#VALUE!</v>
      </c>
      <c r="L4" s="1"/>
      <c r="M4" s="13"/>
    </row>
    <row r="5" spans="1:13" x14ac:dyDescent="0.25">
      <c r="A5" s="14" t="str">
        <f>DVP!A5</f>
        <v>Estudo 4</v>
      </c>
      <c r="B5" s="2" t="e">
        <f>DVP!B5+DVP!#REF!</f>
        <v>#REF!</v>
      </c>
      <c r="C5" s="15" t="e">
        <f>SQRT(((DVP!B5-1)*DVP!#REF!+(DVP!#REF!-1)*DVP!#REF!)/(B5-2))</f>
        <v>#REF!</v>
      </c>
      <c r="D5" s="2" t="e">
        <f>(DVP!E5-DVP!#REF!)/C5</f>
        <v>#VALUE!</v>
      </c>
      <c r="E5" s="2" t="e">
        <f t="shared" si="0"/>
        <v>#VALUE!</v>
      </c>
      <c r="F5" s="2" t="e">
        <f t="shared" si="1"/>
        <v>#REF!</v>
      </c>
      <c r="G5" s="2" t="e">
        <f t="shared" si="2"/>
        <v>#VALUE!</v>
      </c>
      <c r="H5" s="16" t="e">
        <f t="shared" si="3"/>
        <v>#VALUE!</v>
      </c>
      <c r="L5" s="2"/>
      <c r="M5" s="17"/>
    </row>
    <row r="6" spans="1:13" x14ac:dyDescent="0.25">
      <c r="A6" s="9" t="str">
        <f>DVP!A6</f>
        <v>Estudo 5</v>
      </c>
      <c r="B6" s="1" t="e">
        <f>DVP!B6+DVP!#REF!</f>
        <v>#REF!</v>
      </c>
      <c r="C6" s="10" t="e">
        <f>SQRT(((DVP!B6-1)*DVP!#REF!+(DVP!#REF!-1)*DVP!#REF!)/(B6-2))</f>
        <v>#REF!</v>
      </c>
      <c r="D6" s="1" t="e">
        <f>(DVP!E6-DVP!#REF!)/C6</f>
        <v>#VALUE!</v>
      </c>
      <c r="E6" s="1" t="e">
        <f t="shared" si="0"/>
        <v>#VALUE!</v>
      </c>
      <c r="F6" s="1" t="e">
        <f t="shared" si="1"/>
        <v>#REF!</v>
      </c>
      <c r="G6" s="1" t="e">
        <f t="shared" si="2"/>
        <v>#VALUE!</v>
      </c>
      <c r="H6" s="11" t="e">
        <f t="shared" si="3"/>
        <v>#VALUE!</v>
      </c>
      <c r="L6" s="1"/>
      <c r="M6" s="13"/>
    </row>
    <row r="7" spans="1:13" x14ac:dyDescent="0.25">
      <c r="A7" s="14" t="str">
        <f>DVP!A7</f>
        <v>Estudo 6</v>
      </c>
      <c r="B7" s="2" t="e">
        <f>DVP!B7+DVP!#REF!</f>
        <v>#REF!</v>
      </c>
      <c r="C7" s="15" t="e">
        <f>SQRT(((DVP!B7-1)*DVP!#REF!+(DVP!#REF!-1)*DVP!#REF!)/(B7-2))</f>
        <v>#REF!</v>
      </c>
      <c r="D7" s="2" t="e">
        <f>(DVP!E7-DVP!#REF!)/C7</f>
        <v>#REF!</v>
      </c>
      <c r="E7" s="2" t="e">
        <f t="shared" si="0"/>
        <v>#REF!</v>
      </c>
      <c r="F7" s="2" t="e">
        <f t="shared" si="1"/>
        <v>#REF!</v>
      </c>
      <c r="G7" s="2" t="e">
        <f t="shared" si="2"/>
        <v>#REF!</v>
      </c>
      <c r="H7" s="16" t="e">
        <f t="shared" si="3"/>
        <v>#REF!</v>
      </c>
      <c r="J7" s="18"/>
      <c r="K7" s="2"/>
      <c r="L7" s="2"/>
      <c r="M7" s="17"/>
    </row>
    <row r="8" spans="1:13" x14ac:dyDescent="0.25">
      <c r="A8" s="9" t="str">
        <f>DVP!A8</f>
        <v>Estudo 7</v>
      </c>
      <c r="B8" s="1" t="e">
        <f>DVP!B8+DVP!#REF!</f>
        <v>#REF!</v>
      </c>
      <c r="C8" s="10" t="e">
        <f>SQRT(((DVP!B8-1)*DVP!#REF!+(DVP!#REF!-1)*DVP!#REF!)/(B8-2))</f>
        <v>#REF!</v>
      </c>
      <c r="D8" s="1" t="e">
        <f>(DVP!E8-DVP!#REF!)/C8</f>
        <v>#REF!</v>
      </c>
      <c r="E8" s="1" t="e">
        <f t="shared" si="0"/>
        <v>#REF!</v>
      </c>
      <c r="F8" s="1" t="e">
        <f t="shared" si="1"/>
        <v>#REF!</v>
      </c>
      <c r="G8" s="1" t="e">
        <f t="shared" si="2"/>
        <v>#REF!</v>
      </c>
      <c r="H8" s="11" t="e">
        <f t="shared" si="3"/>
        <v>#REF!</v>
      </c>
      <c r="J8" s="12"/>
      <c r="K8" s="1"/>
      <c r="L8" s="1"/>
      <c r="M8" s="13"/>
    </row>
    <row r="9" spans="1:13" x14ac:dyDescent="0.25">
      <c r="A9" s="14" t="str">
        <f>DVP!A9</f>
        <v>Estudo 8</v>
      </c>
      <c r="B9" s="2" t="e">
        <f>DVP!B9+DVP!#REF!</f>
        <v>#REF!</v>
      </c>
      <c r="C9" s="15" t="e">
        <f>SQRT(((DVP!B9-1)*DVP!#REF!+(DVP!#REF!-1)*DVP!#REF!)/(B9-2))</f>
        <v>#REF!</v>
      </c>
      <c r="D9" s="2" t="e">
        <f>(DVP!E9-DVP!#REF!)/C9</f>
        <v>#VALUE!</v>
      </c>
      <c r="E9" s="2" t="e">
        <f t="shared" si="0"/>
        <v>#VALUE!</v>
      </c>
      <c r="F9" s="2" t="e">
        <f t="shared" si="1"/>
        <v>#REF!</v>
      </c>
      <c r="G9" s="2" t="e">
        <f t="shared" si="2"/>
        <v>#VALUE!</v>
      </c>
      <c r="H9" s="16" t="e">
        <f t="shared" si="3"/>
        <v>#VALUE!</v>
      </c>
      <c r="J9" s="18"/>
      <c r="K9" s="2"/>
      <c r="L9" s="2"/>
      <c r="M9" s="17"/>
    </row>
    <row r="10" spans="1:13" x14ac:dyDescent="0.25">
      <c r="A10" s="9" t="str">
        <f>DVP!A10</f>
        <v>Estudo 9</v>
      </c>
      <c r="B10" s="1" t="e">
        <f>DVP!B10+DVP!#REF!</f>
        <v>#REF!</v>
      </c>
      <c r="C10" s="10" t="e">
        <f>SQRT(((DVP!B10-1)*DVP!#REF!+(DVP!#REF!-1)*DVP!#REF!)/(B10-2))</f>
        <v>#REF!</v>
      </c>
      <c r="D10" s="1" t="e">
        <f>(DVP!E10-DVP!#REF!)/C10</f>
        <v>#VALUE!</v>
      </c>
      <c r="E10" s="1" t="e">
        <f t="shared" si="0"/>
        <v>#VALUE!</v>
      </c>
      <c r="F10" s="1" t="e">
        <f t="shared" si="1"/>
        <v>#REF!</v>
      </c>
      <c r="G10" s="1" t="e">
        <f t="shared" si="2"/>
        <v>#VALUE!</v>
      </c>
      <c r="H10" s="11" t="e">
        <f t="shared" si="3"/>
        <v>#VALUE!</v>
      </c>
      <c r="J10" s="12"/>
      <c r="K10" s="1"/>
      <c r="L10" s="1"/>
      <c r="M10" s="13"/>
    </row>
    <row r="11" spans="1:13" x14ac:dyDescent="0.25">
      <c r="A11" s="19" t="str">
        <f>DVP!A11</f>
        <v>Estudo 10</v>
      </c>
      <c r="B11" s="20" t="e">
        <f>DVP!B11+DVP!#REF!</f>
        <v>#REF!</v>
      </c>
      <c r="C11" s="21" t="e">
        <f>SQRT(((DVP!B11-1)*DVP!#REF!+(DVP!#REF!-1)*DVP!#REF!)/(B11-2))</f>
        <v>#REF!</v>
      </c>
      <c r="D11" s="20" t="e">
        <f>(DVP!E11-DVP!#REF!)/C11</f>
        <v>#VALUE!</v>
      </c>
      <c r="E11" s="20" t="e">
        <f t="shared" si="0"/>
        <v>#VALUE!</v>
      </c>
      <c r="F11" s="20" t="e">
        <f t="shared" si="1"/>
        <v>#REF!</v>
      </c>
      <c r="G11" s="20" t="e">
        <f t="shared" si="2"/>
        <v>#VALUE!</v>
      </c>
      <c r="H11" s="22" t="e">
        <f t="shared" si="3"/>
        <v>#VALUE!</v>
      </c>
      <c r="J11" s="23"/>
      <c r="K11" s="24"/>
      <c r="L11" s="24"/>
      <c r="M11" s="25"/>
    </row>
  </sheetData>
  <dataValidations count="1">
    <dataValidation type="custom" allowBlank="1" showDropDown="1" sqref="B2:B11" xr:uid="{00000000-0002-0000-0100-000000000000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DVP</vt:lpstr>
      <vt:lpstr>Efeito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Eline Farias</dc:creator>
  <cp:lastModifiedBy>Eline Farias</cp:lastModifiedBy>
  <dcterms:created xsi:type="dcterms:W3CDTF">2025-03-01T01:50:45Z</dcterms:created>
  <dcterms:modified xsi:type="dcterms:W3CDTF">2025-03-02T03:46:39Z</dcterms:modified>
</cp:coreProperties>
</file>